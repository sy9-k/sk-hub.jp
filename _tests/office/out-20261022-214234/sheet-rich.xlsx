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売上" sheetId="1" r:id="rId1"/>
    <sheet name="データ" sheetId="2" r:id="rId2"/>
    <sheet name="空白 のシート" sheetId="3" r:id="rId3"/>
  </sheets>
  <calcPr calcId="191029" fullCalcOnLoad="1"/>
</workbook>
</file>

<file path=xl/comments1.xml><?xml version="1.0" encoding="utf-8"?>
<comments xmlns="http://schemas.openxmlformats.org/spreadsheetml/2006/main">
  <authors>
    <author>テストの人</author>
  </authors>
  <commentList>
    <comment ref="A2" authorId="0">
      <text>
        <r>
          <rPr>
            <sz val="9"/>
            <color indexed="81"/>
            <rFont val="Tahoma"/>
            <family val="2"/>
          </rPr>
          <t xml:space="preserve">りんごのメモ</t>
        </r>
      </text>
    </comment>
    <comment ref="D2" authorId="0">
      <text>
        <r>
          <rPr>
            <sz val="9"/>
            <color indexed="81"/>
            <rFont val="Tahoma"/>
            <family val="2"/>
          </rPr>
          <t xml:space="preserve">金額は数式です</t>
        </r>
      </text>
    </comment>
  </commentList>
</comments>
</file>

<file path=xl/styles.xml><?xml version="1.0" encoding="utf-8"?>
<styleSheet xmlns="http://schemas.openxmlformats.org/spreadsheetml/2006/main">
  <numFmts count="3">
    <numFmt numFmtId="164" formatCode="yyyy/m/d"/>
    <numFmt numFmtId="165" formatCode="yyyy&quot;年&quot;m&quot;月&quot;d&quot;日&quot;"/>
    <numFmt numFmtId="166" formatCode="¥#,##0"/>
  </numFmts>
  <fonts count="3">
    <font>
      <sz val="11"/>
      <name val="游ゴシック"/>
      <family val="3"/>
    </font>
    <font>
      <b/>
      <sz val="11"/>
      <name val="游ゴシック"/>
      <family val="3"/>
    </font>
    <font>
      <i/>
      <strike/>
      <u/>
      <sz val="14"/>
      <color rgb="FF1D4ED8"/>
      <name val="游明朝"/>
      <family val="3"/>
    </font>
  </fonts>
  <fills count="5">
    <fill>
      <patternFill patternType="none"/>
    </fill>
    <fill>
      <patternFill patternType="gray125"/>
    </fill>
    <fill>
      <patternFill patternType="solid">
        <fgColor rgb="FFFFEB3B"/>
        <bgColor indexed="64"/>
      </patternFill>
    </fill>
    <fill>
      <patternFill patternType="solid">
        <fgColor rgb="FFD7EFD9"/>
        <bgColor indexed="64"/>
      </patternFill>
    </fill>
    <fill>
      <patternFill patternType="solid">
        <fgColor rgb="FFE3F2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2" xfId="0" applyFont="1" applyBorder="1"/>
    <xf numFmtId="166" fontId="1" fillId="0" borderId="2" xfId="0" applyNumberFormat="1" applyFont="1" applyBorder="1"/>
    <xf numFmtId="0" fontId="2" fillId="0" borderId="0" xfId="0" applyFont="1"/>
    <xf numFmtId="0" fontId="0" fillId="0" borderId="0" xfId="0" applyAlignment="1">
      <alignment wrapText="1"/>
    </xf>
    <xf numFmtId="0" fontId="0" fillId="4" borderId="0" xfId="0" applyFill="1"/>
  </cellXfs>
  <cellStyles count="1">
    <cellStyle name="標準" xfId="0" builtinId="0"/>
  </cellStyles>
  <dxfs count="5">
    <dxf>
      <font>
        <color rgb="FF1F2328"/>
      </font>
      <fill>
        <patternFill patternType="solid">
          <bgColor rgb="FFFFCDD2"/>
        </patternFill>
      </fill>
    </dxf>
    <dxf>
      <font>
        <color rgb="FF1F2328"/>
      </font>
      <fill>
        <patternFill patternType="solid">
          <bgColor rgb="FFC8E6C9"/>
        </patternFill>
      </fill>
    </dxf>
    <dxf>
      <font>
        <color rgb="FF1F2328"/>
      </font>
      <fill>
        <patternFill patternType="solid">
          <bgColor rgb="FFBBDEFB"/>
        </patternFill>
      </fill>
    </dxf>
    <dxf>
      <font>
        <color rgb="FF1F2328"/>
      </font>
      <fill>
        <patternFill patternType="solid">
          <bgColor rgb="FFFFF9C4"/>
        </patternFill>
      </fill>
    </dxf>
    <dxf>
      <font>
        <color rgb="FF1F2328"/>
      </font>
      <fill>
        <patternFill patternType="solid">
          <bgColor rgb="FFF8BBD0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>
      <pane xSplit="1" ySplit="1" topLeftCell="B2" activePane="bottomRight" state="frozen"/>
    </sheetView>
  </sheetViews>
  <sheetFormatPr defaultRowHeight="18"/>
  <cols>
    <col min="1" max="1" width="19.29" customWidth="1"/>
    <col min="6" max="6" width="22.14" customWidth="1"/>
  </cols>
  <sheetData>
    <row r="1" ht="22.5" customHeight="1">
      <c r="A1" s="1" t="inlineStr">
        <is>
          <t xml:space="preserve">品名</t>
        </is>
      </c>
      <c r="B1" s="2" t="inlineStr">
        <is>
          <t xml:space="preserve">数</t>
        </is>
      </c>
      <c r="C1" s="2" t="inlineStr">
        <is>
          <t xml:space="preserve">単価</t>
        </is>
      </c>
      <c r="D1" s="2" t="inlineStr">
        <is>
          <t xml:space="preserve">金額</t>
        </is>
      </c>
      <c r="E1" s="2" t="inlineStr">
        <is>
          <t xml:space="preserve">日付</t>
        </is>
      </c>
      <c r="F1" s="2" t="inlineStr">
        <is>
          <t xml:space="preserve">新しい関数</t>
        </is>
      </c>
    </row>
    <row r="2">
      <c r="A2" t="inlineStr">
        <is>
          <t xml:space="preserve">りんご</t>
        </is>
      </c>
      <c r="B2">
        <v>3</v>
      </c>
      <c r="C2">
        <v>120</v>
      </c>
      <c r="D2" s="3">
        <f>B2*C2</f>
        <v>360</v>
      </c>
      <c r="E2" s="4">
        <v>46317</v>
      </c>
      <c r="F2">
        <f>_xlfn.XLOOKUP("みかん",A2:A3,D2:D3)</f>
        <v>400</v>
      </c>
      <c r="G2" t="b">
        <v>1</v>
      </c>
    </row>
    <row r="3">
      <c r="A3" t="inlineStr">
        <is>
          <t xml:space="preserve">みかん</t>
        </is>
      </c>
      <c r="B3">
        <v>5</v>
      </c>
      <c r="C3">
        <v>80</v>
      </c>
      <c r="D3" s="3">
        <f>B3*C3</f>
        <v>400</v>
      </c>
      <c r="E3" s="5">
        <v>46318</v>
      </c>
      <c r="F3" t="str">
        <f>_xlfn.TEXTJOIN("・",TRUE,A2:A3)</f>
        <v>りんご・みかん</v>
      </c>
      <c r="G3" t="inlineStr">
        <is>
          <t xml:space="preserve">0123</t>
        </is>
      </c>
    </row>
    <row r="4">
      <c r="A4" s="6" t="inlineStr">
        <is>
          <t xml:space="preserve">合計</t>
        </is>
      </c>
      <c r="B4" s="6">
        <f>SUM(B2:B3)</f>
        <v>8</v>
      </c>
      <c r="D4" s="7">
        <f>SUM(D2:D3)</f>
        <v>760</v>
      </c>
      <c r="F4" s="6" t="str">
        <f>_xlfn.IFS(B2&gt;2,"多い",TRUE,"少ない")</f>
        <v>多い</v>
      </c>
      <c r="G4" s="6" t="str">
        <f>データ!A1&amp;"です"</f>
        <v>データです</v>
      </c>
    </row>
    <row r="5">
      <c r="F5" t="str">
        <f>_xlfn.CONCAT(A2,A3)</f>
        <v>りんごみかん</v>
      </c>
      <c r="G5" t="str">
        <f>_xlfn.XLOOKUP(5,B2:B3,A2:A3,"なし")</f>
        <v>みかん</v>
      </c>
    </row>
    <row r="6">
      <c r="A6" s="8" t="inlineStr">
        <is>
          <t xml:space="preserve">&lt;&amp;&gt;"'特殊な文字</t>
        </is>
      </c>
      <c r="F6">
        <f>_xlfn.MAXIFS(D2:D3,B2:B3,"&gt;1")</f>
        <v>400</v>
      </c>
      <c r="G6">
        <v>0.5</v>
      </c>
    </row>
    <row r="7" ht="33" customHeight="1">
      <c r="A7" s="9" t="inlineStr">
        <is>
          <t xml:space="preserve">1行目
2行目</t>
        </is>
      </c>
      <c r="F7">
        <f>_xlfn.STDEV.S(B2:B3)</f>
        <v>1.4142135623730951</v>
      </c>
      <c r="G7">
        <v>1200</v>
      </c>
    </row>
    <row r="8">
      <c r="F8">
        <f>_xlfn.IFNA(1,0)</f>
        <v>1</v>
      </c>
    </row>
    <row r="9">
      <c r="F9" t="e">
        <f>1/0</f>
        <v>#DIV/0!</v>
      </c>
      <c r="H9" s="10"/>
    </row>
    <row r="10">
      <c r="F10" t="e">
        <f>F10+1</f>
        <v>#VALUE!</v>
      </c>
    </row>
    <row r="12" ht="30" customHeight="1"/>
  </sheetData>
  <autoFilter ref="A1:E10"/>
  <mergeCells count="1">
    <mergeCell ref="A6:C6"/>
  </mergeCells>
  <conditionalFormatting sqref="B2:B3">
    <cfRule priority="1" type="cellIs" dxfId="0" operator="greaterThan">
      <formula>3</formula>
    </cfRule>
  </conditionalFormatting>
  <conditionalFormatting sqref="C2:C3">
    <cfRule priority="2" type="cellIs" dxfId="1" operator="lessThan">
      <formula>100</formula>
    </cfRule>
  </conditionalFormatting>
  <conditionalFormatting sqref="B2:B3">
    <cfRule priority="3" type="cellIs" dxfId="2" operator="equal">
      <formula>5</formula>
    </cfRule>
  </conditionalFormatting>
  <conditionalFormatting sqref="A2:A3">
    <cfRule priority="4" type="containsText" dxfId="3" operator="containsText" text="り">
      <formula>NOT(ISERROR(SEARCH("り",A2)))</formula>
    </cfRule>
  </conditionalFormatting>
  <conditionalFormatting sqref="A2:A4">
    <cfRule priority="5" type="duplicateValues" dxfId="4"/>
  </conditionalFormatting>
  <conditionalFormatting sqref="D2:D3">
    <cfRule priority="6" type="dataBar">
      <dataBar>
        <cfvo type="min"/>
        <cfvo type="max"/>
        <color rgb="FF2A78D6"/>
      </dataBar>
    </cfRule>
  </conditionalFormatting>
  <conditionalFormatting sqref="C2:C3">
    <cfRule priority="7" type="colorScale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3">
    <dataValidation type="whole" operator="between" allowBlank="1" showInputMessage="1" promptTitle="数を入れてください" prompt="1〜10 の整数" showErrorMessage="1" errorStyle="stop" errorTitle="入力を確認" error="1〜10 の整数を入れてください" sqref="B2:B3">
      <formula1>1</formula1>
      <formula2>10</formula2>
    </dataValidation>
    <dataValidation type="decimal" operator="greaterThan" allowBlank="1" showErrorMessage="1" errorStyle="warning" sqref="C2:C3">
      <formula1>0</formula1>
    </dataValidation>
    <dataValidation type="list" allowBlank="1" showErrorMessage="1" errorStyle="information" sqref="G2:G3">
      <formula1>"TRUE,FALSE"</formula1>
    </dataValidation>
  </dataValidation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showGridLines="0" workbookViewId="0"/>
  </sheetViews>
  <sheetFormatPr defaultRowHeight="18"/>
  <sheetData>
    <row r="1">
      <c r="A1" t="inlineStr">
        <is>
          <t xml:space="preserve">データ</t>
        </is>
      </c>
      <c r="B1">
        <f>売上!B2*2</f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RowHeight="18"/>
  <sheetData/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Sheet のいろいろ</dc:title>
  <dc:creator>テストの人</dc:creator>
  <dcterms:created xsi:type="dcterms:W3CDTF">2026-10-22T12:42:36Z</dcterms:created>
</cp:coreProperties>
</file>